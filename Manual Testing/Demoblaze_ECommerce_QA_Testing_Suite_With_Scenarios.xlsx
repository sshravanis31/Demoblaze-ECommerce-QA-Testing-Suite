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xmlns:r="http://schemas.openxmlformats.org/officeDocument/2006/relationships" name="Dashboard &amp; Summary" sheetId="1" state="visible" r:id="rId1"/>
    <sheet xmlns:r="http://schemas.openxmlformats.org/officeDocument/2006/relationships" name="Test_Plan" sheetId="2" state="visible" r:id="rId2"/>
    <sheet xmlns:r="http://schemas.openxmlformats.org/officeDocument/2006/relationships" name="Requirements_RTM" sheetId="3" state="visible" r:id="rId3"/>
    <sheet xmlns:r="http://schemas.openxmlformats.org/officeDocument/2006/relationships" name="Test_Scenarios" sheetId="4" state="visible" r:id="rId4"/>
    <sheet xmlns:r="http://schemas.openxmlformats.org/officeDocument/2006/relationships" name="Test_Cases" sheetId="5" state="visible" r:id="rId5"/>
    <sheet xmlns:r="http://schemas.openxmlformats.org/officeDocument/2006/relationships" name="Test_Execution" sheetId="6" state="visible" r:id="rId6"/>
    <sheet xmlns:r="http://schemas.openxmlformats.org/officeDocument/2006/relationships" name="Defect_Log" sheetId="7" state="visible" r:id="rId7"/>
  </sheets>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FF1F4E78"/>
      <sz val="16"/>
    </font>
    <font>
      <name val="Calibri"/>
      <i val="1"/>
      <color rgb="FF595959"/>
      <sz val="11"/>
    </font>
    <font>
      <name val="Calibri"/>
      <b val="1"/>
      <color rgb="FFFFFFFF"/>
      <sz val="11"/>
    </font>
    <font>
      <name val="Calibri"/>
      <b val="1"/>
      <color rgb="FF000000"/>
      <sz val="10"/>
    </font>
    <font>
      <name val="Calibri"/>
      <b val="1"/>
      <color rgb="FF1F4E78"/>
      <sz val="11"/>
    </font>
    <font>
      <name val="Calibri"/>
      <color rgb="FF000000"/>
      <sz val="10"/>
    </font>
    <font>
      <name val="Calibri"/>
      <b val="1"/>
      <color rgb="FF9C6500"/>
      <sz val="10"/>
    </font>
    <font>
      <name val="Calibri"/>
      <b val="1"/>
      <color rgb="FF9C0006"/>
      <sz val="10"/>
    </font>
    <font>
      <name val="Calibri"/>
      <b val="1"/>
      <color rgb="FF006100"/>
      <sz val="10"/>
    </font>
    <font>
      <name val="Calibri"/>
      <b val="1"/>
      <color rgb="001F4E78"/>
      <sz val="16"/>
    </font>
    <font>
      <name val="Calibri"/>
      <b val="1"/>
      <color rgb="00FFFFFF"/>
      <sz val="11"/>
    </font>
    <font>
      <name val="Calibri"/>
      <color rgb="00000000"/>
      <sz val="10"/>
    </font>
  </fonts>
  <fills count="8">
    <fill>
      <patternFill/>
    </fill>
    <fill>
      <patternFill patternType="gray125"/>
    </fill>
    <fill>
      <patternFill patternType="solid">
        <fgColor rgb="FF1F4E78"/>
        <bgColor rgb="FF1F4E78"/>
      </patternFill>
    </fill>
    <fill>
      <patternFill patternType="solid">
        <fgColor rgb="FFD9E1F2"/>
        <bgColor rgb="FFD9E1F2"/>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001F4E78"/>
        <bgColor rgb="001F4E78"/>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pivotButton="0" quotePrefix="0" xfId="0"/>
    <xf numFmtId="0" fontId="4"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pivotButton="0" quotePrefix="0" xfId="0"/>
    <xf numFmtId="0" fontId="6" fillId="0" borderId="1" applyAlignment="1" pivotButton="0" quotePrefix="0" xfId="0">
      <alignment horizontal="center" vertical="center"/>
    </xf>
    <xf numFmtId="164" fontId="4" fillId="0" borderId="1" applyAlignment="1" pivotButton="0" quotePrefix="0" xfId="0">
      <alignment horizontal="center" vertical="center"/>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3" fillId="2" borderId="0" applyAlignment="1" pivotButton="0" quotePrefix="0" xfId="0">
      <alignment horizontal="center" vertical="center"/>
    </xf>
    <xf numFmtId="0" fontId="0" fillId="0" borderId="0" pivotButton="0" quotePrefix="0" xfId="0"/>
    <xf numFmtId="0" fontId="6" fillId="0" borderId="1" applyAlignment="1" pivotButton="0" quotePrefix="0" xfId="0">
      <alignment horizontal="left" vertical="center" wrapText="1"/>
    </xf>
    <xf numFmtId="0" fontId="0" fillId="0" borderId="1" pivotButton="0" quotePrefix="0" xfId="0"/>
    <xf numFmtId="0" fontId="3" fillId="2" borderId="0" pivotButton="0" quotePrefix="0" xfId="0"/>
    <xf numFmtId="0" fontId="0" fillId="0" borderId="4" pivotButton="0" quotePrefix="0" xfId="0"/>
    <xf numFmtId="0" fontId="10" fillId="0" borderId="0" pivotButton="0" quotePrefix="0" xfId="0"/>
    <xf numFmtId="0" fontId="11" fillId="7" borderId="0" applyAlignment="1" pivotButton="0" quotePrefix="0" xfId="0">
      <alignment horizontal="center" vertical="center"/>
    </xf>
    <xf numFmtId="0" fontId="12" fillId="0" borderId="5" applyAlignment="1" pivotButton="0" quotePrefix="0" xfId="0">
      <alignment horizontal="center" vertical="center" wrapText="1"/>
    </xf>
    <xf numFmtId="0" fontId="12" fillId="0" borderId="5"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B23" sqref="B23"/>
    </sheetView>
  </sheetViews>
  <sheetFormatPr baseColWidth="8" defaultRowHeight="14.4"/>
  <cols>
    <col width="46" customWidth="1" style="17" min="1" max="1"/>
    <col width="43" customWidth="1" style="17" min="2" max="2"/>
    <col width="12" customWidth="1" style="17" min="3" max="3"/>
    <col width="39" customWidth="1" style="17" min="4" max="4"/>
    <col width="45" customWidth="1" style="17" min="5" max="5"/>
    <col width="48" customWidth="1" style="17" min="6" max="7"/>
    <col width="48" customWidth="1" style="17" min="7" max="7"/>
  </cols>
  <sheetData>
    <row r="1" ht="21" customHeight="1" s="17">
      <c r="A1" s="1" t="inlineStr">
        <is>
          <t>Demoblaze Manual Testing Project Dashboard</t>
        </is>
      </c>
    </row>
    <row r="2">
      <c r="A2" s="2" t="n"/>
    </row>
    <row r="3"/>
    <row r="4">
      <c r="A4" s="16" t="inlineStr">
        <is>
          <t>PROJECT METRICS</t>
        </is>
      </c>
      <c r="D4" s="16" t="inlineStr">
        <is>
          <t>MODULE WISE TEST COVERAGE &amp; RESULTS</t>
        </is>
      </c>
    </row>
    <row r="5">
      <c r="A5" s="4" t="inlineStr">
        <is>
          <t>Total Requirements</t>
        </is>
      </c>
      <c r="B5" s="5">
        <f>COUNTA(Requirements_RTM!A4:A9)</f>
        <v/>
      </c>
      <c r="D5" s="6" t="inlineStr">
        <is>
          <t>Module</t>
        </is>
      </c>
      <c r="E5" s="6" t="inlineStr">
        <is>
          <t>Total TCs</t>
        </is>
      </c>
      <c r="F5" s="6" t="inlineStr">
        <is>
          <t>Passed</t>
        </is>
      </c>
      <c r="G5" s="6" t="inlineStr">
        <is>
          <t>Failed</t>
        </is>
      </c>
    </row>
    <row r="6">
      <c r="A6" s="4" t="inlineStr">
        <is>
          <t>Total Test Cases</t>
        </is>
      </c>
      <c r="B6" s="5">
        <f>COUNTA(Test_Cases!A4:A31)</f>
        <v/>
      </c>
      <c r="D6" s="7" t="inlineStr">
        <is>
          <t>Navigation</t>
        </is>
      </c>
      <c r="E6" s="8">
        <f>COUNTIF(Test_Cases!B4:B31, "Navigation")</f>
        <v/>
      </c>
      <c r="F6" s="8">
        <f>COUNTIFS(Test_Cases!B4:B31, "Navigation", Test_Execution!D4:D31, "PASS")</f>
        <v/>
      </c>
      <c r="G6" s="8">
        <f>COUNTIFS(Test_Cases!B4:B31, "Navigation", Test_Execution!D4:D31, "FAIL")</f>
        <v/>
      </c>
    </row>
    <row r="7">
      <c r="A7" s="4" t="inlineStr">
        <is>
          <t>Executed Test Cases</t>
        </is>
      </c>
      <c r="B7" s="5">
        <f>COUNTA(Test_Execution!A4:A31)</f>
        <v/>
      </c>
      <c r="D7" s="7" t="inlineStr">
        <is>
          <t>User Auth</t>
        </is>
      </c>
      <c r="E7" s="8">
        <f>COUNTIF(Test_Cases!B4:B31, "User Auth")</f>
        <v/>
      </c>
      <c r="F7" s="8">
        <f>COUNTIFS(Test_Cases!B4:B31, "User Auth", Test_Execution!D4:D31, "PASS")</f>
        <v/>
      </c>
      <c r="G7" s="8">
        <f>COUNTIFS(Test_Cases!B4:B31, "User Auth", Test_Execution!D4:D31, "FAIL")</f>
        <v/>
      </c>
    </row>
    <row r="8">
      <c r="A8" s="4" t="inlineStr">
        <is>
          <t>Pass Count</t>
        </is>
      </c>
      <c r="B8" s="5">
        <f>COUNTIF(Test_Execution!D4:D31, "PASS")</f>
        <v/>
      </c>
      <c r="D8" s="7" t="inlineStr">
        <is>
          <t>Catalog</t>
        </is>
      </c>
      <c r="E8" s="8">
        <f>COUNTIF(Test_Cases!B4:B31, "Catalog")</f>
        <v/>
      </c>
      <c r="F8" s="8">
        <f>COUNTIFS(Test_Cases!B4:B31, "Catalog", Test_Execution!D4:D31, "PASS")</f>
        <v/>
      </c>
      <c r="G8" s="8">
        <f>COUNTIFS(Test_Cases!B4:B31, "Catalog", Test_Execution!D4:D31, "FAIL")</f>
        <v/>
      </c>
    </row>
    <row r="9">
      <c r="A9" s="4" t="inlineStr">
        <is>
          <t>Fail Count</t>
        </is>
      </c>
      <c r="B9" s="5">
        <f>COUNTIF(Test_Execution!D4:D31, "FAIL")</f>
        <v/>
      </c>
      <c r="D9" s="7" t="inlineStr">
        <is>
          <t>Cart</t>
        </is>
      </c>
      <c r="E9" s="8">
        <f>COUNTIF(Test_Cases!B4:B31, "Cart")</f>
        <v/>
      </c>
      <c r="F9" s="8">
        <f>COUNTIFS(Test_Cases!B4:B31, "Cart", Test_Execution!D4:D31, "PASS")</f>
        <v/>
      </c>
      <c r="G9" s="8">
        <f>COUNTIFS(Test_Cases!B4:B31, "Cart", Test_Execution!D4:D31, "FAIL")</f>
        <v/>
      </c>
    </row>
    <row r="10">
      <c r="A10" s="4" t="inlineStr">
        <is>
          <t>Pass Percentage</t>
        </is>
      </c>
      <c r="B10" s="9">
        <f>B8/B7</f>
        <v/>
      </c>
      <c r="D10" s="7" t="inlineStr">
        <is>
          <t>Checkout</t>
        </is>
      </c>
      <c r="E10" s="8">
        <f>COUNTIF(Test_Cases!B4:B31, "Checkout")</f>
        <v/>
      </c>
      <c r="F10" s="8">
        <f>COUNTIFS(Test_Cases!B4:B31, "Checkout", Test_Execution!D4:D31, "PASS")</f>
        <v/>
      </c>
      <c r="G10" s="8">
        <f>COUNTIFS(Test_Cases!B4:B31, "Checkout", Test_Execution!D4:D31, "FAIL")</f>
        <v/>
      </c>
    </row>
    <row r="11">
      <c r="A11" s="4" t="inlineStr">
        <is>
          <t>Total Defects Logged</t>
        </is>
      </c>
      <c r="B11" s="5">
        <f>COUNTA(Defect_Log!A4:A6)</f>
        <v/>
      </c>
    </row>
  </sheetData>
  <mergeCells count="2">
    <mergeCell ref="A4:B4"/>
    <mergeCell ref="D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B7" sqref="B7:C7"/>
    </sheetView>
  </sheetViews>
  <sheetFormatPr baseColWidth="8" defaultRowHeight="14.4"/>
  <cols>
    <col width="48" customWidth="1" style="17" min="1" max="2"/>
    <col width="48" customWidth="1" style="17" min="2" max="2"/>
    <col width="12" customWidth="1" style="17" min="3" max="3"/>
  </cols>
  <sheetData>
    <row r="1" ht="21" customHeight="1" s="17">
      <c r="A1" s="1" t="inlineStr">
        <is>
          <t>SOFTWARE TEST PLAN - DEMOBLAZE WEB APPLICATION</t>
        </is>
      </c>
    </row>
    <row r="2"/>
    <row r="3">
      <c r="A3" s="20" t="inlineStr">
        <is>
          <t>1. Document Details</t>
        </is>
      </c>
    </row>
    <row r="4">
      <c r="A4" s="10" t="inlineStr">
        <is>
          <t>Project Name</t>
        </is>
      </c>
      <c r="B4" s="18" t="inlineStr">
        <is>
          <t>Demoblaze Comprehensive Manual &amp; Defect Discovery Testing</t>
        </is>
      </c>
      <c r="C4" s="21" t="n"/>
    </row>
    <row r="5">
      <c r="A5" s="10" t="inlineStr">
        <is>
          <t>Application URL</t>
        </is>
      </c>
      <c r="B5" s="18" t="inlineStr">
        <is>
          <t>https://www.demoblaze.com</t>
        </is>
      </c>
      <c r="C5" s="21" t="n"/>
    </row>
    <row r="6">
      <c r="A6" s="10" t="inlineStr">
        <is>
          <t>Author / QA Lead</t>
        </is>
      </c>
      <c r="B6" s="18" t="inlineStr">
        <is>
          <t>Shravani Salunkhe</t>
        </is>
      </c>
      <c r="C6" s="21" t="n"/>
    </row>
    <row r="7">
      <c r="A7" s="10" t="inlineStr">
        <is>
          <t>Version</t>
        </is>
      </c>
      <c r="B7" s="18" t="n">
        <v>0.1</v>
      </c>
      <c r="C7" s="21" t="n"/>
    </row>
    <row r="8">
      <c r="A8" s="10" t="inlineStr">
        <is>
          <t>Date</t>
        </is>
      </c>
      <c r="B8" s="18" t="inlineStr">
        <is>
          <t>October 2026</t>
        </is>
      </c>
      <c r="C8" s="21" t="n"/>
    </row>
    <row r="9"/>
    <row r="10">
      <c r="A10" s="20" t="inlineStr">
        <is>
          <t>2. Objective &amp; Strategy</t>
        </is>
      </c>
    </row>
    <row r="11">
      <c r="A11" s="10" t="inlineStr">
        <is>
          <t>Objective</t>
        </is>
      </c>
      <c r="B11" s="18" t="inlineStr">
        <is>
          <t>To evaluate end-to-end functionality of Demoblaze web application, validate client-side input rules, identify defect risks in contact, cart, and checkout flows, and establish an automation locator baseline.</t>
        </is>
      </c>
      <c r="C11" s="21" t="n"/>
    </row>
    <row r="12">
      <c r="A12" s="10" t="inlineStr">
        <is>
          <t>Testing Strategy</t>
        </is>
      </c>
      <c r="B12" s="18" t="inlineStr">
        <is>
          <t>Black-box manual testing using Boundary Value Analysis (BVA), Equivalence Partitioning (EP), and Negative Scenarios. Every test case is enriched with explicit locator tags for Selenium automation mapping.</t>
        </is>
      </c>
      <c r="C12" s="21" t="n"/>
    </row>
    <row r="13"/>
    <row r="14">
      <c r="A14" s="20" t="inlineStr">
        <is>
          <t>3. Scope of Testing</t>
        </is>
      </c>
    </row>
    <row r="15">
      <c r="A15" s="10" t="inlineStr">
        <is>
          <t>In Scope</t>
        </is>
      </c>
      <c r="B15" s="18" t="inlineStr">
        <is>
          <t>1. Navigation &amp; Contact Modal Validation (Email Requirement Verification)
2. User Authentication (Signup / Login / Logout)
3. Product Catalog Navigation &amp; Category Filtering
4. Shopping Cart CRUD Operations &amp; Empty Cart Checkout Prevention
5. Place Order Workflow &amp; Credit Card / Date Input Type Validation</t>
        </is>
      </c>
      <c r="C15" s="21" t="n"/>
    </row>
    <row r="16">
      <c r="A16" s="10" t="inlineStr">
        <is>
          <t>Out of Scope</t>
        </is>
      </c>
      <c r="B16" s="18" t="inlineStr">
        <is>
          <t>1. Backend Server-side Performance under traffic stress
2. Real Credit Card Banking API Integration (Mock dialogs only)</t>
        </is>
      </c>
      <c r="C16" s="21" t="n"/>
    </row>
  </sheetData>
  <mergeCells count="12">
    <mergeCell ref="A10:C10"/>
    <mergeCell ref="B6:C6"/>
    <mergeCell ref="B16:C16"/>
    <mergeCell ref="B15:C15"/>
    <mergeCell ref="B7:C7"/>
    <mergeCell ref="B11:C11"/>
    <mergeCell ref="B5:C5"/>
    <mergeCell ref="A14:C14"/>
    <mergeCell ref="A3:C3"/>
    <mergeCell ref="B8:C8"/>
    <mergeCell ref="B4:C4"/>
    <mergeCell ref="B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4.4"/>
  <cols>
    <col width="41" customWidth="1" style="17" min="1" max="1"/>
    <col width="31" customWidth="1" style="17" min="2" max="2"/>
    <col width="48" customWidth="1" style="17" min="3" max="3"/>
    <col width="42" customWidth="1" style="17" min="4" max="4"/>
    <col width="22" customWidth="1" style="17" min="5" max="5"/>
  </cols>
  <sheetData>
    <row r="1" ht="21" customHeight="1" s="17">
      <c r="A1" s="1" t="inlineStr">
        <is>
          <t>REQUIREMENT TRACEABILITY MATRIX (RTM)</t>
        </is>
      </c>
    </row>
    <row r="2"/>
    <row r="3">
      <c r="A3" s="16" t="inlineStr">
        <is>
          <t>Requirement ID</t>
        </is>
      </c>
      <c r="B3" s="16" t="inlineStr">
        <is>
          <t>Module / Feature</t>
        </is>
      </c>
      <c r="C3" s="16" t="inlineStr">
        <is>
          <t>Requirement Description</t>
        </is>
      </c>
      <c r="D3" s="16" t="inlineStr">
        <is>
          <t>Mapped Test Case ID(s)</t>
        </is>
      </c>
      <c r="E3" s="16" t="inlineStr">
        <is>
          <t>Coverage Status</t>
        </is>
      </c>
    </row>
    <row r="4" ht="41.4" customHeight="1" s="17">
      <c r="A4" s="12" t="inlineStr">
        <is>
          <t>REQ-01</t>
        </is>
      </c>
      <c r="B4" s="12" t="inlineStr">
        <is>
          <t>Navigation &amp; Contact</t>
        </is>
      </c>
      <c r="C4" s="18" t="inlineStr">
        <is>
          <t>Web application should support navigation and enforce mandatory contact email validation upon submitting contact messages.</t>
        </is>
      </c>
      <c r="D4" s="12" t="inlineStr">
        <is>
          <t>TC_NAV_001 to TC_NAV_005</t>
        </is>
      </c>
      <c r="E4" s="12" t="inlineStr">
        <is>
          <t>Covered (1 Defect)</t>
        </is>
      </c>
    </row>
    <row r="5" ht="27.6" customHeight="1" s="17">
      <c r="A5" s="12" t="inlineStr">
        <is>
          <t>REQ-02</t>
        </is>
      </c>
      <c r="B5" s="12" t="inlineStr">
        <is>
          <t>User Auth - Signup</t>
        </is>
      </c>
      <c r="C5" s="18" t="inlineStr">
        <is>
          <t>User registration should handle valid credentials, duplicate username checking, and password masking.</t>
        </is>
      </c>
      <c r="D5" s="12" t="inlineStr">
        <is>
          <t>TC_AUTH_001 to TC_AUTH_005</t>
        </is>
      </c>
      <c r="E5" s="12" t="inlineStr">
        <is>
          <t>Covered</t>
        </is>
      </c>
    </row>
    <row r="6" ht="27.6" customHeight="1" s="17">
      <c r="A6" s="12" t="inlineStr">
        <is>
          <t>REQ-03</t>
        </is>
      </c>
      <c r="B6" s="12" t="inlineStr">
        <is>
          <t>User Auth - Session</t>
        </is>
      </c>
      <c r="C6" s="18" t="inlineStr">
        <is>
          <t>User login and logout mechanism with valid credentials and error alert feedback.</t>
        </is>
      </c>
      <c r="D6" s="12" t="inlineStr">
        <is>
          <t>TC_AUTH_006 to TC_AUTH_010</t>
        </is>
      </c>
      <c r="E6" s="12" t="inlineStr">
        <is>
          <t>Covered</t>
        </is>
      </c>
    </row>
    <row r="7" ht="27.6" customHeight="1" s="17">
      <c r="A7" s="12" t="inlineStr">
        <is>
          <t>REQ-04</t>
        </is>
      </c>
      <c r="B7" s="12" t="inlineStr">
        <is>
          <t>Catalog</t>
        </is>
      </c>
      <c r="C7" s="18" t="inlineStr">
        <is>
          <t>Product catalog filtering by categories (Phones, Laptops, Monitors) and detail page views.</t>
        </is>
      </c>
      <c r="D7" s="12" t="inlineStr">
        <is>
          <t>TC_CAT_001 to TC_CAT_005</t>
        </is>
      </c>
      <c r="E7" s="12" t="inlineStr">
        <is>
          <t>Covered</t>
        </is>
      </c>
    </row>
    <row r="8" ht="27.6" customHeight="1" s="17">
      <c r="A8" s="12" t="inlineStr">
        <is>
          <t>REQ-05</t>
        </is>
      </c>
      <c r="B8" s="12" t="inlineStr">
        <is>
          <t>Cart &amp; Checkout</t>
        </is>
      </c>
      <c r="C8" s="18" t="inlineStr">
        <is>
          <t>Shopping cart management and prevention of placing orders when the cart is completely empty ($0).</t>
        </is>
      </c>
      <c r="D8" s="12" t="inlineStr">
        <is>
          <t>TC_CART_001 to TC_CART_004, TC_CHK_004</t>
        </is>
      </c>
      <c r="E8" s="12" t="inlineStr">
        <is>
          <t>Covered (1 Defect)</t>
        </is>
      </c>
    </row>
    <row r="9" ht="41.4" customHeight="1" s="17">
      <c r="A9" s="12" t="inlineStr">
        <is>
          <t>REQ-06</t>
        </is>
      </c>
      <c r="B9" s="12" t="inlineStr">
        <is>
          <t>Checkout Payment Validation</t>
        </is>
      </c>
      <c r="C9" s="18" t="inlineStr">
        <is>
          <t>Order purchase workflow requiring valid numeric credit card digits and proper date format before completing order.</t>
        </is>
      </c>
      <c r="D9" s="12" t="inlineStr">
        <is>
          <t>TC_CHK_001 to TC_CHK_003</t>
        </is>
      </c>
      <c r="E9" s="12" t="inlineStr">
        <is>
          <t>Covered (1 Defect)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43" customWidth="1" style="17" min="1" max="1"/>
    <col width="14" customWidth="1" style="17" min="2" max="2"/>
    <col width="48" customWidth="1" style="17" min="3" max="3"/>
    <col width="27" customWidth="1" style="17" min="4" max="4"/>
    <col width="12" customWidth="1" style="17" min="5" max="5"/>
    <col width="48" customWidth="1" style="17" min="6" max="6"/>
  </cols>
  <sheetData>
    <row r="1">
      <c r="A1" s="22" t="inlineStr">
        <is>
          <t>HIGH-LEVEL TEST SCENARIOS SPECIFICATION</t>
        </is>
      </c>
    </row>
    <row r="2"/>
    <row r="3">
      <c r="A3" s="23" t="inlineStr">
        <is>
          <t>Scenario ID</t>
        </is>
      </c>
      <c r="B3" s="23" t="inlineStr">
        <is>
          <t>Module</t>
        </is>
      </c>
      <c r="C3" s="23" t="inlineStr">
        <is>
          <t>Test Scenario Description</t>
        </is>
      </c>
      <c r="D3" s="23" t="inlineStr">
        <is>
          <t>Testing Type</t>
        </is>
      </c>
      <c r="E3" s="23" t="inlineStr">
        <is>
          <t>Priority</t>
        </is>
      </c>
      <c r="F3" s="23" t="inlineStr">
        <is>
          <t>Mapped Test Case ID(s)</t>
        </is>
      </c>
    </row>
    <row r="4">
      <c r="A4" s="24" t="inlineStr">
        <is>
          <t>TS_NAV_001</t>
        </is>
      </c>
      <c r="B4" s="24" t="inlineStr">
        <is>
          <t>Navigation</t>
        </is>
      </c>
      <c r="C4" s="25" t="inlineStr">
        <is>
          <t>Verify main navigation header links, logo, and brand redirection</t>
        </is>
      </c>
      <c r="D4" s="24" t="inlineStr">
        <is>
          <t>UI / Functional</t>
        </is>
      </c>
      <c r="E4" s="24" t="inlineStr">
        <is>
          <t>Low</t>
        </is>
      </c>
      <c r="F4" s="24" t="inlineStr">
        <is>
          <t>TC_NAV_001, TC_NAV_002</t>
        </is>
      </c>
    </row>
    <row r="5">
      <c r="A5" s="24" t="inlineStr">
        <is>
          <t>TS_NAV_002</t>
        </is>
      </c>
      <c r="B5" s="24" t="inlineStr">
        <is>
          <t>Navigation</t>
        </is>
      </c>
      <c r="C5" s="25" t="inlineStr">
        <is>
          <t>Verify Contact modal loading, form submission, and mandatory field validation</t>
        </is>
      </c>
      <c r="D5" s="24" t="inlineStr">
        <is>
          <t>Functional / Negative</t>
        </is>
      </c>
      <c r="E5" s="24" t="inlineStr">
        <is>
          <t>Medium</t>
        </is>
      </c>
      <c r="F5" s="24" t="inlineStr">
        <is>
          <t>TC_NAV_003, TC_NAV_004</t>
        </is>
      </c>
    </row>
    <row r="6">
      <c r="A6" s="24" t="inlineStr">
        <is>
          <t>TS_NAV_003</t>
        </is>
      </c>
      <c r="B6" s="24" t="inlineStr">
        <is>
          <t>Navigation</t>
        </is>
      </c>
      <c r="C6" s="25" t="inlineStr">
        <is>
          <t>Verify About Us video modal dialog rendering and playback controls</t>
        </is>
      </c>
      <c r="D6" s="24" t="inlineStr">
        <is>
          <t>UI / Functional</t>
        </is>
      </c>
      <c r="E6" s="24" t="inlineStr">
        <is>
          <t>Low</t>
        </is>
      </c>
      <c r="F6" s="24" t="inlineStr">
        <is>
          <t>TC_NAV_005</t>
        </is>
      </c>
    </row>
    <row r="7">
      <c r="A7" s="24" t="inlineStr">
        <is>
          <t>TS_AUTH_001</t>
        </is>
      </c>
      <c r="B7" s="24" t="inlineStr">
        <is>
          <t>User Auth</t>
        </is>
      </c>
      <c r="C7" s="25" t="inlineStr">
        <is>
          <t>Verify user signup functionality with valid, duplicate, and empty inputs</t>
        </is>
      </c>
      <c r="D7" s="24" t="inlineStr">
        <is>
          <t>Functional / Negative</t>
        </is>
      </c>
      <c r="E7" s="24" t="inlineStr">
        <is>
          <t>High</t>
        </is>
      </c>
      <c r="F7" s="24" t="inlineStr">
        <is>
          <t>TC_AUTH_001, TC_AUTH_002, TC_AUTH_003</t>
        </is>
      </c>
    </row>
    <row r="8">
      <c r="A8" s="24" t="inlineStr">
        <is>
          <t>TS_AUTH_002</t>
        </is>
      </c>
      <c r="B8" s="24" t="inlineStr">
        <is>
          <t>User Auth</t>
        </is>
      </c>
      <c r="C8" s="25" t="inlineStr">
        <is>
          <t>Verify signup modal user interface controls and password input masking</t>
        </is>
      </c>
      <c r="D8" s="24" t="inlineStr">
        <is>
          <t>UI Verification</t>
        </is>
      </c>
      <c r="E8" s="24" t="inlineStr">
        <is>
          <t>Low</t>
        </is>
      </c>
      <c r="F8" s="24" t="inlineStr">
        <is>
          <t>TC_AUTH_004, TC_AUTH_005</t>
        </is>
      </c>
    </row>
    <row r="9">
      <c r="A9" s="24" t="inlineStr">
        <is>
          <t>TS_AUTH_003</t>
        </is>
      </c>
      <c r="B9" s="24" t="inlineStr">
        <is>
          <t>User Auth</t>
        </is>
      </c>
      <c r="C9" s="25" t="inlineStr">
        <is>
          <t>Verify user login functionality with valid, invalid, non-existent, and empty credentials</t>
        </is>
      </c>
      <c r="D9" s="24" t="inlineStr">
        <is>
          <t>Functional / Negative</t>
        </is>
      </c>
      <c r="E9" s="24" t="inlineStr">
        <is>
          <t>Critical</t>
        </is>
      </c>
      <c r="F9" s="24" t="inlineStr">
        <is>
          <t>TC_AUTH_006, TC_AUTH_007, TC_AUTH_008, TC_AUTH_009</t>
        </is>
      </c>
    </row>
    <row r="10">
      <c r="A10" s="24" t="inlineStr">
        <is>
          <t>TS_AUTH_004</t>
        </is>
      </c>
      <c r="B10" s="24" t="inlineStr">
        <is>
          <t>User Auth</t>
        </is>
      </c>
      <c r="C10" s="25" t="inlineStr">
        <is>
          <t>Verify user session logout mechanism and header state update</t>
        </is>
      </c>
      <c r="D10" s="24" t="inlineStr">
        <is>
          <t>Functional</t>
        </is>
      </c>
      <c r="E10" s="24" t="inlineStr">
        <is>
          <t>Critical</t>
        </is>
      </c>
      <c r="F10" s="24" t="inlineStr">
        <is>
          <t>TC_AUTH_010</t>
        </is>
      </c>
    </row>
    <row r="11">
      <c r="A11" s="24" t="inlineStr">
        <is>
          <t>TS_CAT_001</t>
        </is>
      </c>
      <c r="B11" s="24" t="inlineStr">
        <is>
          <t>Catalog</t>
        </is>
      </c>
      <c r="C11" s="25" t="inlineStr">
        <is>
          <t>Verify homepage banner promotional carousel image navigation</t>
        </is>
      </c>
      <c r="D11" s="24" t="inlineStr">
        <is>
          <t>UI Verification</t>
        </is>
      </c>
      <c r="E11" s="24" t="inlineStr">
        <is>
          <t>Low</t>
        </is>
      </c>
      <c r="F11" s="24" t="inlineStr">
        <is>
          <t>TC_CAT_001</t>
        </is>
      </c>
    </row>
    <row r="12">
      <c r="A12" s="24" t="inlineStr">
        <is>
          <t>TS_CAT_002</t>
        </is>
      </c>
      <c r="B12" s="24" t="inlineStr">
        <is>
          <t>Catalog</t>
        </is>
      </c>
      <c r="C12" s="25" t="inlineStr">
        <is>
          <t>Verify product filtering by categories (Phones, Laptops, Monitors)</t>
        </is>
      </c>
      <c r="D12" s="24" t="inlineStr">
        <is>
          <t>Functional</t>
        </is>
      </c>
      <c r="E12" s="24" t="inlineStr">
        <is>
          <t>Medium</t>
        </is>
      </c>
      <c r="F12" s="24" t="inlineStr">
        <is>
          <t>TC_CAT_002, TC_CAT_003, TC_CAT_004</t>
        </is>
      </c>
    </row>
    <row r="13">
      <c r="A13" s="24" t="inlineStr">
        <is>
          <t>TS_CAT_003</t>
        </is>
      </c>
      <c r="B13" s="24" t="inlineStr">
        <is>
          <t>Catalog</t>
        </is>
      </c>
      <c r="C13" s="25" t="inlineStr">
        <is>
          <t>Verify product detail page display, pricing, and description loading</t>
        </is>
      </c>
      <c r="D13" s="24" t="inlineStr">
        <is>
          <t>Functional / UI</t>
        </is>
      </c>
      <c r="E13" s="24" t="inlineStr">
        <is>
          <t>High</t>
        </is>
      </c>
      <c r="F13" s="24" t="inlineStr">
        <is>
          <t>TC_CAT_005</t>
        </is>
      </c>
    </row>
    <row r="14">
      <c r="A14" s="24" t="inlineStr">
        <is>
          <t>TS_CART_001</t>
        </is>
      </c>
      <c r="B14" s="24" t="inlineStr">
        <is>
          <t>Cart</t>
        </is>
      </c>
      <c r="C14" s="25" t="inlineStr">
        <is>
          <t>Verify adding single and multiple products to shopping cart</t>
        </is>
      </c>
      <c r="D14" s="24" t="inlineStr">
        <is>
          <t>Functional</t>
        </is>
      </c>
      <c r="E14" s="24" t="inlineStr">
        <is>
          <t>Critical</t>
        </is>
      </c>
      <c r="F14" s="24" t="inlineStr">
        <is>
          <t>TC_CART_001, TC_CART_004</t>
        </is>
      </c>
    </row>
    <row r="15">
      <c r="A15" s="24" t="inlineStr">
        <is>
          <t>TS_CART_002</t>
        </is>
      </c>
      <c r="B15" s="24" t="inlineStr">
        <is>
          <t>Cart</t>
        </is>
      </c>
      <c r="C15" s="25" t="inlineStr">
        <is>
          <t>Verify shopping cart table items display, pricing calculation, and item deletion</t>
        </is>
      </c>
      <c r="D15" s="24" t="inlineStr">
        <is>
          <t>Functional / Regression</t>
        </is>
      </c>
      <c r="E15" s="24" t="inlineStr">
        <is>
          <t>High</t>
        </is>
      </c>
      <c r="F15" s="24" t="inlineStr">
        <is>
          <t>TC_CART_002, TC_CART_003</t>
        </is>
      </c>
    </row>
    <row r="16">
      <c r="A16" s="24" t="inlineStr">
        <is>
          <t>TS_CHK_001</t>
        </is>
      </c>
      <c r="B16" s="24" t="inlineStr">
        <is>
          <t>Checkout</t>
        </is>
      </c>
      <c r="C16" s="25" t="inlineStr">
        <is>
          <t>Verify Place Order modal rendering and cart price total synchronization</t>
        </is>
      </c>
      <c r="D16" s="24" t="inlineStr">
        <is>
          <t>Functional / UI</t>
        </is>
      </c>
      <c r="E16" s="24" t="inlineStr">
        <is>
          <t>High</t>
        </is>
      </c>
      <c r="F16" s="24" t="inlineStr">
        <is>
          <t>TC_CHK_001</t>
        </is>
      </c>
    </row>
    <row r="17">
      <c r="A17" s="24" t="inlineStr">
        <is>
          <t>TS_CHK_002</t>
        </is>
      </c>
      <c r="B17" s="24" t="inlineStr">
        <is>
          <t>Checkout</t>
        </is>
      </c>
      <c r="C17" s="25" t="inlineStr">
        <is>
          <t>Verify purchase order placement with valid complete customer payment details</t>
        </is>
      </c>
      <c r="D17" s="24" t="inlineStr">
        <is>
          <t>Functional</t>
        </is>
      </c>
      <c r="E17" s="24" t="inlineStr">
        <is>
          <t>Critical</t>
        </is>
      </c>
      <c r="F17" s="24" t="inlineStr">
        <is>
          <t>TC_CHK_002</t>
        </is>
      </c>
    </row>
    <row r="18">
      <c r="A18" s="24" t="inlineStr">
        <is>
          <t>TS_CHK_003</t>
        </is>
      </c>
      <c r="B18" s="24" t="inlineStr">
        <is>
          <t>Checkout</t>
        </is>
      </c>
      <c r="C18" s="25" t="inlineStr">
        <is>
          <t>Verify purchase order submission input field validation rules (Empty cart / Blank fields / Non-numeric text)</t>
        </is>
      </c>
      <c r="D18" s="24" t="inlineStr">
        <is>
          <t>Negative / Validation</t>
        </is>
      </c>
      <c r="E18" s="24" t="inlineStr">
        <is>
          <t>High</t>
        </is>
      </c>
      <c r="F18" s="24" t="inlineStr">
        <is>
          <t>TC_CHK_003, TC_CHK_004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L8" sqref="L8"/>
    </sheetView>
  </sheetViews>
  <sheetFormatPr baseColWidth="8" defaultRowHeight="14.4"/>
  <cols>
    <col width="48" customWidth="1" style="17" min="1" max="1"/>
    <col width="14" customWidth="1" style="17" min="2" max="2"/>
    <col width="48" customWidth="1" style="17" min="3" max="3"/>
    <col width="17" customWidth="1" style="17" min="4" max="4"/>
    <col width="24" customWidth="1" style="17" min="5" max="5"/>
    <col width="48" customWidth="1" style="17" min="6" max="6"/>
    <col width="31" customWidth="1" style="17" min="7" max="7"/>
    <col width="48" customWidth="1" style="17" min="8" max="8"/>
  </cols>
  <sheetData>
    <row r="1" ht="21" customHeight="1" s="17">
      <c r="A1" s="1" t="inlineStr">
        <is>
          <t>MASTER TEST CASE SPECIFICATIONS (28 TEST CASES - AUTOMATION READY)</t>
        </is>
      </c>
    </row>
    <row r="2"/>
    <row r="3">
      <c r="A3" s="16" t="inlineStr">
        <is>
          <t>Test Case ID</t>
        </is>
      </c>
      <c r="B3" s="16" t="inlineStr">
        <is>
          <t>Module</t>
        </is>
      </c>
      <c r="C3" s="16" t="inlineStr">
        <is>
          <t>Test Title</t>
        </is>
      </c>
      <c r="D3" s="16" t="inlineStr">
        <is>
          <t>Test Priority</t>
        </is>
      </c>
      <c r="E3" s="16" t="inlineStr">
        <is>
          <t>Pre-Conditions</t>
        </is>
      </c>
      <c r="F3" s="16" t="inlineStr">
        <is>
          <t>Test Steps</t>
        </is>
      </c>
      <c r="G3" s="16" t="inlineStr">
        <is>
          <t>Test Data</t>
        </is>
      </c>
      <c r="H3" s="16" t="inlineStr">
        <is>
          <t>Expected Result</t>
        </is>
      </c>
    </row>
    <row r="4" ht="27.6" customHeight="1" s="17">
      <c r="A4" s="12" t="inlineStr">
        <is>
          <t>TC_NAV_001</t>
        </is>
      </c>
      <c r="B4" s="12" t="inlineStr">
        <is>
          <t>Navigation</t>
        </is>
      </c>
      <c r="C4" s="18" t="inlineStr">
        <is>
          <t>Verify home page title and brand logo display</t>
        </is>
      </c>
      <c r="D4" s="12" t="inlineStr">
        <is>
          <t>Low</t>
        </is>
      </c>
      <c r="E4" s="18" t="inlineStr">
        <is>
          <t>Browser open</t>
        </is>
      </c>
      <c r="F4" s="18" t="inlineStr">
        <is>
          <t>1. Navigate to https://www.demoblaze.com
2. Observe brand logo and page title.</t>
        </is>
      </c>
      <c r="G4" s="18" t="inlineStr">
        <is>
          <t>URL: demoblaze.com</t>
        </is>
      </c>
      <c r="H4" s="18" t="inlineStr">
        <is>
          <t>Page title is 'STORE' and brand logo 'PRODUCT STORE' is visible.</t>
        </is>
      </c>
    </row>
    <row r="5">
      <c r="A5" s="12" t="inlineStr">
        <is>
          <t>TC_NAV_002</t>
        </is>
      </c>
      <c r="B5" s="12" t="inlineStr">
        <is>
          <t>Navigation</t>
        </is>
      </c>
      <c r="C5" s="18" t="inlineStr">
        <is>
          <t>Verify 'Home' navbar link redirects to main page</t>
        </is>
      </c>
      <c r="D5" s="12" t="inlineStr">
        <is>
          <t>Low</t>
        </is>
      </c>
      <c r="E5" s="18" t="inlineStr">
        <is>
          <t>On Cart page</t>
        </is>
      </c>
      <c r="F5" s="18" t="inlineStr">
        <is>
          <t>1. Click 'Home' link in navbar.</t>
        </is>
      </c>
      <c r="G5" s="18" t="inlineStr">
        <is>
          <t>N/A</t>
        </is>
      </c>
      <c r="H5" s="18" t="inlineStr">
        <is>
          <t>User is redirected to product catalog home page.</t>
        </is>
      </c>
    </row>
    <row r="6" ht="27.6" customHeight="1" s="17">
      <c r="A6" s="12" t="inlineStr">
        <is>
          <t>TC_NAV_003</t>
        </is>
      </c>
      <c r="B6" s="12" t="inlineStr">
        <is>
          <t>Navigation</t>
        </is>
      </c>
      <c r="C6" s="18" t="inlineStr">
        <is>
          <t>Verify 'Contact' modal opens and closes correctly</t>
        </is>
      </c>
      <c r="D6" s="12" t="inlineStr">
        <is>
          <t>Medium</t>
        </is>
      </c>
      <c r="E6" s="18" t="inlineStr">
        <is>
          <t>Home page open</t>
        </is>
      </c>
      <c r="F6" s="18" t="inlineStr">
        <is>
          <t>1. Click 'Contact' in header.
2. Click 'Close' button in modal.</t>
        </is>
      </c>
      <c r="G6" s="18" t="inlineStr">
        <is>
          <t>N/A</t>
        </is>
      </c>
      <c r="H6" s="18" t="inlineStr">
        <is>
          <t>Contact modal opens with fields, then closes smoothly upon clicking Close.</t>
        </is>
      </c>
    </row>
    <row r="7" ht="41.4" customHeight="1" s="17">
      <c r="A7" s="12" t="inlineStr">
        <is>
          <t>TC_NAV_004</t>
        </is>
      </c>
      <c r="B7" s="12" t="inlineStr">
        <is>
          <t>Navigation</t>
        </is>
      </c>
      <c r="C7" s="18" t="inlineStr">
        <is>
          <t>Verify sending a contact message</t>
        </is>
      </c>
      <c r="D7" s="12" t="inlineStr">
        <is>
          <t>Medium</t>
        </is>
      </c>
      <c r="E7" s="18" t="inlineStr">
        <is>
          <t>Home page open</t>
        </is>
      </c>
      <c r="F7" s="18" t="inlineStr">
        <is>
          <t>1. Click 'Contact'.
2. Fill Email, Name, Message.
3. Click 'Send message'.</t>
        </is>
      </c>
      <c r="G7" s="18" t="inlineStr">
        <is>
          <t>Email: test@qa.com
Name: Shravani
Msg: Hello Demoblaze</t>
        </is>
      </c>
      <c r="H7" s="18" t="inlineStr">
        <is>
          <t>Alert popup appears stating 'Thanks for the message!!'.</t>
        </is>
      </c>
    </row>
    <row r="8" ht="41.4" customHeight="1" s="17">
      <c r="A8" s="12" t="inlineStr">
        <is>
          <t>TC_NAV_005</t>
        </is>
      </c>
      <c r="B8" s="12" t="inlineStr">
        <is>
          <t>Navigation</t>
        </is>
      </c>
      <c r="C8" s="18" t="inlineStr">
        <is>
          <t>Verify 'About us' video modal plays and closes</t>
        </is>
      </c>
      <c r="D8" s="12" t="inlineStr">
        <is>
          <t>Low</t>
        </is>
      </c>
      <c r="E8" s="18" t="inlineStr">
        <is>
          <t>Home page open</t>
        </is>
      </c>
      <c r="F8" s="18" t="inlineStr">
        <is>
          <t>1. Click 'About us' in header.
2. Verify video player exists.
3. Click Close.</t>
        </is>
      </c>
      <c r="G8" s="18" t="inlineStr">
        <is>
          <t>N/A</t>
        </is>
      </c>
      <c r="H8" s="18" t="inlineStr">
        <is>
          <t>Video modal pops up with video tag present, closes on Close click.</t>
        </is>
      </c>
    </row>
    <row r="9" ht="55.2" customHeight="1" s="17">
      <c r="A9" s="12" t="inlineStr">
        <is>
          <t>TC_AUTH_001</t>
        </is>
      </c>
      <c r="B9" s="12" t="inlineStr">
        <is>
          <t>User Auth</t>
        </is>
      </c>
      <c r="C9" s="18" t="inlineStr">
        <is>
          <t>Verify successful user registration with unique credentials</t>
        </is>
      </c>
      <c r="D9" s="13" t="inlineStr">
        <is>
          <t>High</t>
        </is>
      </c>
      <c r="E9" s="18" t="inlineStr">
        <is>
          <t>Home page open</t>
        </is>
      </c>
      <c r="F9" s="18" t="inlineStr">
        <is>
          <t>1. Click 'Sign up'.
2. Enter new username.
3. Enter password.
4. Click 'Sign up' button.</t>
        </is>
      </c>
      <c r="G9" s="18" t="inlineStr">
        <is>
          <t>User: testuser_qa_201
Pass: Pass123!</t>
        </is>
      </c>
      <c r="H9" s="18" t="inlineStr">
        <is>
          <t>Alert displays 'Sign up successful.'</t>
        </is>
      </c>
    </row>
    <row r="10" ht="55.2" customHeight="1" s="17">
      <c r="A10" s="12" t="inlineStr">
        <is>
          <t>TC_AUTH_002</t>
        </is>
      </c>
      <c r="B10" s="12" t="inlineStr">
        <is>
          <t>User Auth</t>
        </is>
      </c>
      <c r="C10" s="18" t="inlineStr">
        <is>
          <t>Verify registration with existing username</t>
        </is>
      </c>
      <c r="D10" s="12" t="inlineStr">
        <is>
          <t>Medium</t>
        </is>
      </c>
      <c r="E10" s="18" t="inlineStr">
        <is>
          <t>Username exists</t>
        </is>
      </c>
      <c r="F10" s="18" t="inlineStr">
        <is>
          <t>1. Click 'Sign up'.
2. Enter existing username.
3. Enter password.
4. Click 'Sign up'.</t>
        </is>
      </c>
      <c r="G10" s="18" t="inlineStr">
        <is>
          <t>User: testuser_qa_201
Pass: Pass123!</t>
        </is>
      </c>
      <c r="H10" s="18" t="inlineStr">
        <is>
          <t>Alert displays 'This user already exist.'</t>
        </is>
      </c>
    </row>
    <row r="11" ht="41.4" customHeight="1" s="17">
      <c r="A11" s="12" t="inlineStr">
        <is>
          <t>TC_AUTH_003</t>
        </is>
      </c>
      <c r="B11" s="12" t="inlineStr">
        <is>
          <t>User Auth</t>
        </is>
      </c>
      <c r="C11" s="18" t="inlineStr">
        <is>
          <t>Verify registration with blank username and password</t>
        </is>
      </c>
      <c r="D11" s="12" t="inlineStr">
        <is>
          <t>Medium</t>
        </is>
      </c>
      <c r="E11" s="18" t="inlineStr">
        <is>
          <t>Home page open</t>
        </is>
      </c>
      <c r="F11" s="18" t="inlineStr">
        <is>
          <t>1. Click 'Sign up'.
2. Leave fields empty.
3. Click 'Sign up'.</t>
        </is>
      </c>
      <c r="G11" s="18" t="inlineStr">
        <is>
          <t>Blank username/password</t>
        </is>
      </c>
      <c r="H11" s="18" t="inlineStr">
        <is>
          <t>Validation alert should prompt for required credentials.</t>
        </is>
      </c>
    </row>
    <row r="12" ht="27.6" customHeight="1" s="17">
      <c r="A12" s="12" t="inlineStr">
        <is>
          <t>TC_AUTH_004</t>
        </is>
      </c>
      <c r="B12" s="12" t="inlineStr">
        <is>
          <t>User Auth</t>
        </is>
      </c>
      <c r="C12" s="18" t="inlineStr">
        <is>
          <t>Verify registration modal close button functionality</t>
        </is>
      </c>
      <c r="D12" s="12" t="inlineStr">
        <is>
          <t>Low</t>
        </is>
      </c>
      <c r="E12" s="18" t="inlineStr">
        <is>
          <t>Home page open</t>
        </is>
      </c>
      <c r="F12" s="18" t="inlineStr">
        <is>
          <t>1. Click 'Sign up'.
2. Click 'Close' button.</t>
        </is>
      </c>
      <c r="G12" s="18" t="inlineStr">
        <is>
          <t>N/A</t>
        </is>
      </c>
      <c r="H12" s="18" t="inlineStr">
        <is>
          <t>Sign up modal closes without creating account.</t>
        </is>
      </c>
    </row>
    <row r="13" ht="27.6" customHeight="1" s="17">
      <c r="A13" s="12" t="inlineStr">
        <is>
          <t>TC_AUTH_005</t>
        </is>
      </c>
      <c r="B13" s="12" t="inlineStr">
        <is>
          <t>User Auth</t>
        </is>
      </c>
      <c r="C13" s="18" t="inlineStr">
        <is>
          <t>Verify registration password input masking</t>
        </is>
      </c>
      <c r="D13" s="12" t="inlineStr">
        <is>
          <t>Low</t>
        </is>
      </c>
      <c r="E13" s="18" t="inlineStr">
        <is>
          <t>Home page open</t>
        </is>
      </c>
      <c r="F13" s="18" t="inlineStr">
        <is>
          <t>1. Click 'Sign up'.
2. Type password in Password field.</t>
        </is>
      </c>
      <c r="G13" s="18" t="inlineStr">
        <is>
          <t>Pass: Pass123!</t>
        </is>
      </c>
      <c r="H13" s="18" t="inlineStr">
        <is>
          <t>Password input text is masked (dots/asterisks).</t>
        </is>
      </c>
    </row>
    <row r="14" ht="55.2" customHeight="1" s="17">
      <c r="A14" s="12" t="inlineStr">
        <is>
          <t>TC_AUTH_006</t>
        </is>
      </c>
      <c r="B14" s="12" t="inlineStr">
        <is>
          <t>User Auth</t>
        </is>
      </c>
      <c r="C14" s="18" t="inlineStr">
        <is>
          <t>Verify successful login with valid credentials</t>
        </is>
      </c>
      <c r="D14" s="14" t="inlineStr">
        <is>
          <t>Critical</t>
        </is>
      </c>
      <c r="E14" s="18" t="inlineStr">
        <is>
          <t>User registered</t>
        </is>
      </c>
      <c r="F14" s="18" t="inlineStr">
        <is>
          <t>1. Click 'Log in'.
2. Enter valid username.
3. Enter valid password.
4. Click 'Log in'.</t>
        </is>
      </c>
      <c r="G14" s="18" t="inlineStr">
        <is>
          <t>User: testuser_qa_201
Pass: Pass123!</t>
        </is>
      </c>
      <c r="H14" s="18" t="inlineStr">
        <is>
          <t>Modal closes, header updates to 'Welcome testuser_qa_201', 'Log out' button appears.</t>
        </is>
      </c>
    </row>
    <row r="15" ht="55.2" customHeight="1" s="17">
      <c r="A15" s="12" t="inlineStr">
        <is>
          <t>TC_AUTH_007</t>
        </is>
      </c>
      <c r="B15" s="12" t="inlineStr">
        <is>
          <t>User Auth</t>
        </is>
      </c>
      <c r="C15" s="18" t="inlineStr">
        <is>
          <t>Verify login with invalid password</t>
        </is>
      </c>
      <c r="D15" s="13" t="inlineStr">
        <is>
          <t>High</t>
        </is>
      </c>
      <c r="E15" s="18" t="inlineStr">
        <is>
          <t>User registered</t>
        </is>
      </c>
      <c r="F15" s="18" t="inlineStr">
        <is>
          <t>1. Click 'Log in'.
2. Enter valid username.
3. Enter wrong password.
4. Click 'Log in'.</t>
        </is>
      </c>
      <c r="G15" s="18" t="inlineStr">
        <is>
          <t>User: testuser_qa_201
Pass: WrongPass</t>
        </is>
      </c>
      <c r="H15" s="18" t="inlineStr">
        <is>
          <t>Alert displays 'Wrong password.'</t>
        </is>
      </c>
    </row>
    <row r="16" ht="41.4" customHeight="1" s="17">
      <c r="A16" s="12" t="inlineStr">
        <is>
          <t>TC_AUTH_008</t>
        </is>
      </c>
      <c r="B16" s="12" t="inlineStr">
        <is>
          <t>User Auth</t>
        </is>
      </c>
      <c r="C16" s="18" t="inlineStr">
        <is>
          <t>Verify login with non-existent username</t>
        </is>
      </c>
      <c r="D16" s="13" t="inlineStr">
        <is>
          <t>High</t>
        </is>
      </c>
      <c r="E16" s="18" t="inlineStr">
        <is>
          <t>Home page open</t>
        </is>
      </c>
      <c r="F16" s="18" t="inlineStr">
        <is>
          <t>1. Click 'Log in'.
2. Enter invalid username.
3. Click 'Log in'.</t>
        </is>
      </c>
      <c r="G16" s="18" t="inlineStr">
        <is>
          <t>User: non_existent_user_99
Pass: AnyPass</t>
        </is>
      </c>
      <c r="H16" s="18" t="inlineStr">
        <is>
          <t>Alert displays 'User does not exist.'</t>
        </is>
      </c>
    </row>
    <row r="17" ht="41.4" customHeight="1" s="17">
      <c r="A17" s="12" t="inlineStr">
        <is>
          <t>TC_AUTH_009</t>
        </is>
      </c>
      <c r="B17" s="12" t="inlineStr">
        <is>
          <t>User Auth</t>
        </is>
      </c>
      <c r="C17" s="18" t="inlineStr">
        <is>
          <t>Verify login with blank credentials</t>
        </is>
      </c>
      <c r="D17" s="12" t="inlineStr">
        <is>
          <t>Medium</t>
        </is>
      </c>
      <c r="E17" s="18" t="inlineStr">
        <is>
          <t>Home page open</t>
        </is>
      </c>
      <c r="F17" s="18" t="inlineStr">
        <is>
          <t>1. Click 'Log in'.
2. Leave fields blank.
3. Click 'Log in'.</t>
        </is>
      </c>
      <c r="G17" s="18" t="inlineStr">
        <is>
          <t>Blank fields</t>
        </is>
      </c>
      <c r="H17" s="18" t="inlineStr">
        <is>
          <t>Alert displays 'Please fill out Username and Password.'</t>
        </is>
      </c>
    </row>
    <row r="18" ht="27.6" customHeight="1" s="17">
      <c r="A18" s="12" t="inlineStr">
        <is>
          <t>TC_AUTH_010</t>
        </is>
      </c>
      <c r="B18" s="12" t="inlineStr">
        <is>
          <t>User Auth</t>
        </is>
      </c>
      <c r="C18" s="18" t="inlineStr">
        <is>
          <t>Verify user logout functionality</t>
        </is>
      </c>
      <c r="D18" s="14" t="inlineStr">
        <is>
          <t>Critical</t>
        </is>
      </c>
      <c r="E18" s="18" t="inlineStr">
        <is>
          <t>User logged in</t>
        </is>
      </c>
      <c r="F18" s="18" t="inlineStr">
        <is>
          <t>1. Click 'Log out' link in header.</t>
        </is>
      </c>
      <c r="G18" s="18" t="inlineStr">
        <is>
          <t>N/A</t>
        </is>
      </c>
      <c r="H18" s="18" t="inlineStr">
        <is>
          <t>User is logged out, 'Welcome &lt;user&gt;' disappears, 'Log in' and 'Sign up' buttons reappear.</t>
        </is>
      </c>
    </row>
    <row r="19" ht="27.6" customHeight="1" s="17">
      <c r="A19" s="12" t="inlineStr">
        <is>
          <t>TC_CAT_001</t>
        </is>
      </c>
      <c r="B19" s="12" t="inlineStr">
        <is>
          <t>Catalog</t>
        </is>
      </c>
      <c r="C19" s="18" t="inlineStr">
        <is>
          <t>Verify homepage banner carousel image auto-sliding / next button</t>
        </is>
      </c>
      <c r="D19" s="12" t="inlineStr">
        <is>
          <t>Low</t>
        </is>
      </c>
      <c r="E19" s="18" t="inlineStr">
        <is>
          <t>Home page open</t>
        </is>
      </c>
      <c r="F19" s="18" t="inlineStr">
        <is>
          <t>1. Click next arrow on homepage banner carousel.</t>
        </is>
      </c>
      <c r="G19" s="18" t="inlineStr">
        <is>
          <t>N/A</t>
        </is>
      </c>
      <c r="H19" s="18" t="inlineStr">
        <is>
          <t>Carousel slides to next promotional banner image.</t>
        </is>
      </c>
    </row>
    <row r="20" ht="27.6" customHeight="1" s="17">
      <c r="A20" s="12" t="inlineStr">
        <is>
          <t>TC_CAT_002</t>
        </is>
      </c>
      <c r="B20" s="12" t="inlineStr">
        <is>
          <t>Catalog</t>
        </is>
      </c>
      <c r="C20" s="18" t="inlineStr">
        <is>
          <t>Verify product filtering by 'Phones' category</t>
        </is>
      </c>
      <c r="D20" s="12" t="inlineStr">
        <is>
          <t>Medium</t>
        </is>
      </c>
      <c r="E20" s="18" t="inlineStr">
        <is>
          <t>Home page open</t>
        </is>
      </c>
      <c r="F20" s="18" t="inlineStr">
        <is>
          <t>1. Click 'Phones' under CATEGORIES.</t>
        </is>
      </c>
      <c r="G20" s="18" t="inlineStr">
        <is>
          <t>Category: Phones</t>
        </is>
      </c>
      <c r="H20" s="18" t="inlineStr">
        <is>
          <t>Only Phone category items (Samsung galaxy, Nokia, Nexus) are displayed.</t>
        </is>
      </c>
    </row>
    <row r="21" ht="27.6" customHeight="1" s="17">
      <c r="A21" s="12" t="inlineStr">
        <is>
          <t>TC_CAT_003</t>
        </is>
      </c>
      <c r="B21" s="12" t="inlineStr">
        <is>
          <t>Catalog</t>
        </is>
      </c>
      <c r="C21" s="18" t="inlineStr">
        <is>
          <t>Verify product filtering by 'Laptops' category</t>
        </is>
      </c>
      <c r="D21" s="12" t="inlineStr">
        <is>
          <t>Medium</t>
        </is>
      </c>
      <c r="E21" s="18" t="inlineStr">
        <is>
          <t>Home page open</t>
        </is>
      </c>
      <c r="F21" s="18" t="inlineStr">
        <is>
          <t>1. Click 'Laptops' under CATEGORIES.</t>
        </is>
      </c>
      <c r="G21" s="18" t="inlineStr">
        <is>
          <t>Category: Laptops</t>
        </is>
      </c>
      <c r="H21" s="18" t="inlineStr">
        <is>
          <t>Only Laptop items (Sony vaio, MacBook air/pro) are displayed.</t>
        </is>
      </c>
    </row>
    <row r="22" ht="27.6" customHeight="1" s="17">
      <c r="A22" s="12" t="inlineStr">
        <is>
          <t>TC_CAT_004</t>
        </is>
      </c>
      <c r="B22" s="12" t="inlineStr">
        <is>
          <t>Catalog</t>
        </is>
      </c>
      <c r="C22" s="18" t="inlineStr">
        <is>
          <t>Verify product filtering by 'Monitors' category</t>
        </is>
      </c>
      <c r="D22" s="12" t="inlineStr">
        <is>
          <t>Medium</t>
        </is>
      </c>
      <c r="E22" s="18" t="inlineStr">
        <is>
          <t>Home page open</t>
        </is>
      </c>
      <c r="F22" s="18" t="inlineStr">
        <is>
          <t>1. Click 'Monitors' under CATEGORIES.</t>
        </is>
      </c>
      <c r="G22" s="18" t="inlineStr">
        <is>
          <t>Category: Monitors</t>
        </is>
      </c>
      <c r="H22" s="18" t="inlineStr">
        <is>
          <t>Only Monitor items (Apple Monitor, ASUS Full HD) are displayed.</t>
        </is>
      </c>
    </row>
    <row r="23" ht="27.6" customHeight="1" s="17">
      <c r="A23" s="12" t="inlineStr">
        <is>
          <t>TC_CAT_005</t>
        </is>
      </c>
      <c r="B23" s="12" t="inlineStr">
        <is>
          <t>Catalog</t>
        </is>
      </c>
      <c r="C23" s="18" t="inlineStr">
        <is>
          <t>Verify clicking product card opens Product Details page</t>
        </is>
      </c>
      <c r="D23" s="13" t="inlineStr">
        <is>
          <t>High</t>
        </is>
      </c>
      <c r="E23" s="18" t="inlineStr">
        <is>
          <t>Home page open</t>
        </is>
      </c>
      <c r="F23" s="18" t="inlineStr">
        <is>
          <t>1. Click product title link 'Samsung galaxy s6'.</t>
        </is>
      </c>
      <c r="G23" s="18" t="inlineStr">
        <is>
          <t>Product: Samsung galaxy s6</t>
        </is>
      </c>
      <c r="H23" s="18" t="inlineStr">
        <is>
          <t>Navigates to detail page showing title, price ($360), description, and 'Add to cart' button.</t>
        </is>
      </c>
    </row>
    <row r="24">
      <c r="A24" s="12" t="inlineStr">
        <is>
          <t>TC_CART_001</t>
        </is>
      </c>
      <c r="B24" s="12" t="inlineStr">
        <is>
          <t>Cart</t>
        </is>
      </c>
      <c r="C24" s="18" t="inlineStr">
        <is>
          <t>Verify adding product to cart from details page</t>
        </is>
      </c>
      <c r="D24" s="14" t="inlineStr">
        <is>
          <t>Critical</t>
        </is>
      </c>
      <c r="E24" s="18" t="inlineStr">
        <is>
          <t>Product page open</t>
        </is>
      </c>
      <c r="F24" s="18" t="inlineStr">
        <is>
          <t>1. On 'Samsung galaxy s6' page, click 'Add to cart'.</t>
        </is>
      </c>
      <c r="G24" s="18" t="inlineStr">
        <is>
          <t>Product: Samsung galaxy s6</t>
        </is>
      </c>
      <c r="H24" s="18" t="inlineStr">
        <is>
          <t>Browser alert popup displays 'Product added'.</t>
        </is>
      </c>
    </row>
    <row r="25" ht="27.6" customHeight="1" s="17">
      <c r="A25" s="12" t="inlineStr">
        <is>
          <t>TC_CART_002</t>
        </is>
      </c>
      <c r="B25" s="12" t="inlineStr">
        <is>
          <t>Cart</t>
        </is>
      </c>
      <c r="C25" s="18" t="inlineStr">
        <is>
          <t>Verify added items display in Cart table with correct price</t>
        </is>
      </c>
      <c r="D25" s="13" t="inlineStr">
        <is>
          <t>High</t>
        </is>
      </c>
      <c r="E25" s="18" t="inlineStr">
        <is>
          <t>Items added</t>
        </is>
      </c>
      <c r="F25" s="18" t="inlineStr">
        <is>
          <t>1. Navigate to 'Cart' header link.</t>
        </is>
      </c>
      <c r="G25" s="18" t="inlineStr">
        <is>
          <t>N/A</t>
        </is>
      </c>
      <c r="H25" s="18" t="inlineStr">
        <is>
          <t>Cart table displays columns: Pic, Title, Price, Delete. Price total matches items sum.</t>
        </is>
      </c>
    </row>
    <row r="26" ht="27.6" customHeight="1" s="17">
      <c r="A26" s="12" t="inlineStr">
        <is>
          <t>TC_CART_003</t>
        </is>
      </c>
      <c r="B26" s="12" t="inlineStr">
        <is>
          <t>Cart</t>
        </is>
      </c>
      <c r="C26" s="18" t="inlineStr">
        <is>
          <t>Verify deleting item from Cart</t>
        </is>
      </c>
      <c r="D26" s="13" t="inlineStr">
        <is>
          <t>High</t>
        </is>
      </c>
      <c r="E26" s="18" t="inlineStr">
        <is>
          <t>Cart has items</t>
        </is>
      </c>
      <c r="F26" s="18" t="inlineStr">
        <is>
          <t>1. Open Cart page.
2. Click 'Delete' link next to item.</t>
        </is>
      </c>
      <c r="G26" s="18" t="inlineStr">
        <is>
          <t>Item: Samsung galaxy s6</t>
        </is>
      </c>
      <c r="H26" s="18" t="inlineStr">
        <is>
          <t>Item row is removed from DOM and Total price recalculates.</t>
        </is>
      </c>
    </row>
    <row r="27" ht="41.4" customHeight="1" s="17">
      <c r="A27" s="12" t="inlineStr">
        <is>
          <t>TC_CART_004</t>
        </is>
      </c>
      <c r="B27" s="12" t="inlineStr">
        <is>
          <t>Cart</t>
        </is>
      </c>
      <c r="C27" s="18" t="inlineStr">
        <is>
          <t>Verify adding multiple products to cart</t>
        </is>
      </c>
      <c r="D27" s="13" t="inlineStr">
        <is>
          <t>High</t>
        </is>
      </c>
      <c r="E27" s="18" t="inlineStr">
        <is>
          <t>Home page open</t>
        </is>
      </c>
      <c r="F27" s="18" t="inlineStr">
        <is>
          <t>1. Add 'Nokia lumia 1520'.
2. Return home &amp; add 'Sony vaio i5'.
3. Open Cart.</t>
        </is>
      </c>
      <c r="G27" s="18" t="inlineStr">
        <is>
          <t>Products: Nokia + Sony vaio</t>
        </is>
      </c>
      <c r="H27" s="18" t="inlineStr">
        <is>
          <t>Cart displays 2 rows with both products and combined sum in Total.</t>
        </is>
      </c>
    </row>
    <row r="28" ht="27.6" customHeight="1" s="17">
      <c r="A28" s="12" t="inlineStr">
        <is>
          <t>TC_CHK_001</t>
        </is>
      </c>
      <c r="B28" s="12" t="inlineStr">
        <is>
          <t>Checkout</t>
        </is>
      </c>
      <c r="C28" s="18" t="inlineStr">
        <is>
          <t>Verify 'Place Order' modal opens with correct total price</t>
        </is>
      </c>
      <c r="D28" s="13" t="inlineStr">
        <is>
          <t>High</t>
        </is>
      </c>
      <c r="E28" s="18" t="inlineStr">
        <is>
          <t>Cart has items</t>
        </is>
      </c>
      <c r="F28" s="18" t="inlineStr">
        <is>
          <t>1. Open Cart.
2. Click 'Place Order' button.</t>
        </is>
      </c>
      <c r="G28" s="18" t="inlineStr">
        <is>
          <t>Cart total: $1180</t>
        </is>
      </c>
      <c r="H28" s="18" t="inlineStr">
        <is>
          <t>Place order modal pops up displaying 'Total: 1180' matching cart total.</t>
        </is>
      </c>
    </row>
    <row r="29" ht="82.8" customHeight="1" s="17">
      <c r="A29" s="12" t="inlineStr">
        <is>
          <t>TC_CHK_002</t>
        </is>
      </c>
      <c r="B29" s="12" t="inlineStr">
        <is>
          <t>Checkout</t>
        </is>
      </c>
      <c r="C29" s="18" t="inlineStr">
        <is>
          <t>Verify successful purchase order placement with all valid fields</t>
        </is>
      </c>
      <c r="D29" s="14" t="inlineStr">
        <is>
          <t>Critical</t>
        </is>
      </c>
      <c r="E29" s="18" t="inlineStr">
        <is>
          <t>In Place Order modal</t>
        </is>
      </c>
      <c r="F29" s="18" t="inlineStr">
        <is>
          <t>1. Enter Name, Country, City, Credit Card, Month, Year.
2. Click 'Purchase'.</t>
        </is>
      </c>
      <c r="G29" s="18" t="inlineStr">
        <is>
          <t>Name: Shravani
Country: India
City: Mumbai
Card: 4111222233334444
Month: 12
Year: 2028</t>
        </is>
      </c>
      <c r="H29" s="18" t="inlineStr">
        <is>
          <t>SweetAlert popup confirms 'Thank you for your purchase!' showing ID, Amount, Card, and Name.</t>
        </is>
      </c>
    </row>
    <row r="30" ht="27.6" customHeight="1" s="17">
      <c r="A30" s="12" t="inlineStr">
        <is>
          <t>TC_CHK_003</t>
        </is>
      </c>
      <c r="B30" s="12" t="inlineStr">
        <is>
          <t>Checkout</t>
        </is>
      </c>
      <c r="C30" s="18" t="inlineStr">
        <is>
          <t>Verify submitting order purchase with blank mandatory fields</t>
        </is>
      </c>
      <c r="D30" s="13" t="inlineStr">
        <is>
          <t>High</t>
        </is>
      </c>
      <c r="E30" s="18" t="inlineStr">
        <is>
          <t>In Place Order modal</t>
        </is>
      </c>
      <c r="F30" s="18" t="inlineStr">
        <is>
          <t>1. Leave Name and Credit Card fields empty.
2. Click 'Purchase'.</t>
        </is>
      </c>
      <c r="G30" s="18" t="inlineStr">
        <is>
          <t>Blank inputs</t>
        </is>
      </c>
      <c r="H30" s="18" t="inlineStr">
        <is>
          <t>Validation alert should prompt user to fill required fields.</t>
        </is>
      </c>
    </row>
    <row r="31" ht="27.6" customHeight="1" s="17">
      <c r="A31" s="12" t="inlineStr">
        <is>
          <t>TC_CHK_004</t>
        </is>
      </c>
      <c r="B31" s="12" t="inlineStr">
        <is>
          <t>Checkout</t>
        </is>
      </c>
      <c r="C31" s="18" t="inlineStr">
        <is>
          <t>Verify purchase confirmation modal 'OK' button resets cart</t>
        </is>
      </c>
      <c r="D31" s="12" t="inlineStr">
        <is>
          <t>Medium</t>
        </is>
      </c>
      <c r="E31" s="18" t="inlineStr">
        <is>
          <t>Order placed</t>
        </is>
      </c>
      <c r="F31" s="18" t="inlineStr">
        <is>
          <t>1. On 'Thank you for your purchase!' modal, click 'OK' button.</t>
        </is>
      </c>
      <c r="G31" s="18" t="inlineStr">
        <is>
          <t>N/A</t>
        </is>
      </c>
      <c r="H31" s="18" t="inlineStr">
        <is>
          <t>Redirects to home page and cart is cleared.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
  <sheetViews>
    <sheetView topLeftCell="A28" workbookViewId="0">
      <selection activeCell="G11" sqref="G11"/>
    </sheetView>
  </sheetViews>
  <sheetFormatPr baseColWidth="8" defaultRowHeight="14.4"/>
  <cols>
    <col width="48" customWidth="1" style="17" min="1" max="1"/>
    <col width="16" customWidth="1" style="17" min="2" max="2"/>
    <col width="21" customWidth="1" style="17" min="3" max="3"/>
    <col width="12" customWidth="1" style="17" min="4" max="4"/>
    <col width="48" customWidth="1" style="17" min="5" max="5"/>
  </cols>
  <sheetData>
    <row r="1" ht="21" customHeight="1" s="17">
      <c r="A1" s="1" t="inlineStr">
        <is>
          <t>TEST EXECUTION REPORT (REAL DEFECT DISCOVERY)</t>
        </is>
      </c>
    </row>
    <row r="2"/>
    <row r="3">
      <c r="A3" s="16" t="inlineStr">
        <is>
          <t>Execution ID</t>
        </is>
      </c>
      <c r="B3" s="16" t="inlineStr">
        <is>
          <t>Test Case ID</t>
        </is>
      </c>
      <c r="C3" s="16" t="inlineStr">
        <is>
          <t>Executed By</t>
        </is>
      </c>
      <c r="D3" s="16" t="inlineStr">
        <is>
          <t>Status</t>
        </is>
      </c>
      <c r="E3" s="16" t="inlineStr">
        <is>
          <t>Execution Notes / Defect Ref</t>
        </is>
      </c>
    </row>
    <row r="4">
      <c r="A4" s="12" t="inlineStr">
        <is>
          <t>EXEC_001</t>
        </is>
      </c>
      <c r="B4" s="12" t="inlineStr">
        <is>
          <t>TC_NAV_001</t>
        </is>
      </c>
      <c r="C4" s="12" t="inlineStr">
        <is>
          <t>Shravani Salunkhe</t>
        </is>
      </c>
      <c r="D4" s="15" t="inlineStr">
        <is>
          <t>PASS</t>
        </is>
      </c>
      <c r="E4" s="18" t="inlineStr">
        <is>
          <t>Verified successfully as expected.</t>
        </is>
      </c>
    </row>
    <row r="5">
      <c r="A5" s="12" t="inlineStr">
        <is>
          <t>EXEC_002</t>
        </is>
      </c>
      <c r="B5" s="12" t="inlineStr">
        <is>
          <t>TC_NAV_002</t>
        </is>
      </c>
      <c r="C5" s="12" t="inlineStr">
        <is>
          <t>Shravani Salunkhe</t>
        </is>
      </c>
      <c r="D5" s="15" t="inlineStr">
        <is>
          <t>PASS</t>
        </is>
      </c>
      <c r="E5" s="18" t="inlineStr">
        <is>
          <t>Verified successfully as expected.</t>
        </is>
      </c>
    </row>
    <row r="6">
      <c r="A6" s="12" t="inlineStr">
        <is>
          <t>EXEC_003</t>
        </is>
      </c>
      <c r="B6" s="12" t="inlineStr">
        <is>
          <t>TC_NAV_003</t>
        </is>
      </c>
      <c r="C6" s="12" t="inlineStr">
        <is>
          <t>Shravani Salunkhe</t>
        </is>
      </c>
      <c r="D6" s="15" t="inlineStr">
        <is>
          <t>PASS</t>
        </is>
      </c>
      <c r="E6" s="18" t="inlineStr">
        <is>
          <t>Verified successfully as expected.</t>
        </is>
      </c>
    </row>
    <row r="7" ht="27.6" customHeight="1" s="17">
      <c r="A7" s="12" t="inlineStr">
        <is>
          <t>EXEC_004</t>
        </is>
      </c>
      <c r="B7" s="12" t="inlineStr">
        <is>
          <t>TC_NAV_004</t>
        </is>
      </c>
      <c r="C7" s="12" t="inlineStr">
        <is>
          <t>Shravani Salunkhe</t>
        </is>
      </c>
      <c r="D7" s="14" t="inlineStr">
        <is>
          <t>FAIL</t>
        </is>
      </c>
      <c r="E7" s="18" t="inlineStr">
        <is>
          <t>FAIL - Defect BUG_001: Contact message submits without email address.</t>
        </is>
      </c>
    </row>
    <row r="8">
      <c r="A8" s="12" t="inlineStr">
        <is>
          <t>EXEC_005</t>
        </is>
      </c>
      <c r="B8" s="12" t="inlineStr">
        <is>
          <t>TC_NAV_005</t>
        </is>
      </c>
      <c r="C8" s="12" t="inlineStr">
        <is>
          <t>Shravani Salunkhe</t>
        </is>
      </c>
      <c r="D8" s="15" t="inlineStr">
        <is>
          <t>PASS</t>
        </is>
      </c>
      <c r="E8" s="18" t="inlineStr">
        <is>
          <t>Verified successfully as expected.</t>
        </is>
      </c>
    </row>
    <row r="9">
      <c r="A9" s="12" t="inlineStr">
        <is>
          <t>EXEC_006</t>
        </is>
      </c>
      <c r="B9" s="12" t="inlineStr">
        <is>
          <t>TC_AUTH_001</t>
        </is>
      </c>
      <c r="C9" s="12" t="inlineStr">
        <is>
          <t>Shravani Salunkhe</t>
        </is>
      </c>
      <c r="D9" s="15" t="inlineStr">
        <is>
          <t>PASS</t>
        </is>
      </c>
      <c r="E9" s="18" t="inlineStr">
        <is>
          <t>Verified successfully as expected.</t>
        </is>
      </c>
    </row>
    <row r="10">
      <c r="A10" s="12" t="inlineStr">
        <is>
          <t>EXEC_007</t>
        </is>
      </c>
      <c r="B10" s="12" t="inlineStr">
        <is>
          <t>TC_AUTH_002</t>
        </is>
      </c>
      <c r="C10" s="12" t="inlineStr">
        <is>
          <t>Shravani Salunkhe</t>
        </is>
      </c>
      <c r="D10" s="15" t="inlineStr">
        <is>
          <t>PASS</t>
        </is>
      </c>
      <c r="E10" s="18" t="inlineStr">
        <is>
          <t>Verified successfully as expected.</t>
        </is>
      </c>
    </row>
    <row r="11">
      <c r="A11" s="12" t="inlineStr">
        <is>
          <t>EXEC_008</t>
        </is>
      </c>
      <c r="B11" s="12" t="inlineStr">
        <is>
          <t>TC_AUTH_003</t>
        </is>
      </c>
      <c r="C11" s="12" t="inlineStr">
        <is>
          <t>Shravani Salunkhe</t>
        </is>
      </c>
      <c r="D11" s="15" t="inlineStr">
        <is>
          <t>PASS</t>
        </is>
      </c>
      <c r="E11" s="18" t="inlineStr">
        <is>
          <t>Verified successfully as expected.</t>
        </is>
      </c>
    </row>
    <row r="12">
      <c r="A12" s="12" t="inlineStr">
        <is>
          <t>EXEC_009</t>
        </is>
      </c>
      <c r="B12" s="12" t="inlineStr">
        <is>
          <t>TC_AUTH_004</t>
        </is>
      </c>
      <c r="C12" s="12" t="inlineStr">
        <is>
          <t>Shravani Salunkhe</t>
        </is>
      </c>
      <c r="D12" s="15" t="inlineStr">
        <is>
          <t>PASS</t>
        </is>
      </c>
      <c r="E12" s="18" t="inlineStr">
        <is>
          <t>Verified successfully as expected.</t>
        </is>
      </c>
    </row>
    <row r="13">
      <c r="A13" s="12" t="inlineStr">
        <is>
          <t>EXEC_010</t>
        </is>
      </c>
      <c r="B13" s="12" t="inlineStr">
        <is>
          <t>TC_AUTH_005</t>
        </is>
      </c>
      <c r="C13" s="12" t="inlineStr">
        <is>
          <t>Shravani Salunkhe</t>
        </is>
      </c>
      <c r="D13" s="15" t="inlineStr">
        <is>
          <t>PASS</t>
        </is>
      </c>
      <c r="E13" s="18" t="inlineStr">
        <is>
          <t>Verified successfully as expected.</t>
        </is>
      </c>
    </row>
    <row r="14">
      <c r="A14" s="12" t="inlineStr">
        <is>
          <t>EXEC_011</t>
        </is>
      </c>
      <c r="B14" s="12" t="inlineStr">
        <is>
          <t>TC_AUTH_006</t>
        </is>
      </c>
      <c r="C14" s="12" t="inlineStr">
        <is>
          <t>Shravani Salunkhe</t>
        </is>
      </c>
      <c r="D14" s="15" t="inlineStr">
        <is>
          <t>PASS</t>
        </is>
      </c>
      <c r="E14" s="18" t="inlineStr">
        <is>
          <t>Verified successfully as expected.</t>
        </is>
      </c>
    </row>
    <row r="15">
      <c r="A15" s="12" t="inlineStr">
        <is>
          <t>EXEC_012</t>
        </is>
      </c>
      <c r="B15" s="12" t="inlineStr">
        <is>
          <t>TC_AUTH_007</t>
        </is>
      </c>
      <c r="C15" s="12" t="inlineStr">
        <is>
          <t>Shravani Salunkhe</t>
        </is>
      </c>
      <c r="D15" s="15" t="inlineStr">
        <is>
          <t>PASS</t>
        </is>
      </c>
      <c r="E15" s="18" t="inlineStr">
        <is>
          <t>Verified successfully as expected.</t>
        </is>
      </c>
    </row>
    <row r="16">
      <c r="A16" s="12" t="inlineStr">
        <is>
          <t>EXEC_013</t>
        </is>
      </c>
      <c r="B16" s="12" t="inlineStr">
        <is>
          <t>TC_AUTH_008</t>
        </is>
      </c>
      <c r="C16" s="12" t="inlineStr">
        <is>
          <t>Shravani Salunkhe</t>
        </is>
      </c>
      <c r="D16" s="15" t="inlineStr">
        <is>
          <t>PASS</t>
        </is>
      </c>
      <c r="E16" s="18" t="inlineStr">
        <is>
          <t>Verified successfully as expected.</t>
        </is>
      </c>
    </row>
    <row r="17">
      <c r="A17" s="12" t="inlineStr">
        <is>
          <t>EXEC_014</t>
        </is>
      </c>
      <c r="B17" s="12" t="inlineStr">
        <is>
          <t>TC_AUTH_009</t>
        </is>
      </c>
      <c r="C17" s="12" t="inlineStr">
        <is>
          <t>Shravani Salunkhe</t>
        </is>
      </c>
      <c r="D17" s="15" t="inlineStr">
        <is>
          <t>PASS</t>
        </is>
      </c>
      <c r="E17" s="18" t="inlineStr">
        <is>
          <t>Verified successfully as expected.</t>
        </is>
      </c>
    </row>
    <row r="18">
      <c r="A18" s="12" t="inlineStr">
        <is>
          <t>EXEC_015</t>
        </is>
      </c>
      <c r="B18" s="12" t="inlineStr">
        <is>
          <t>TC_AUTH_010</t>
        </is>
      </c>
      <c r="C18" s="12" t="inlineStr">
        <is>
          <t>Shravani Salunkhe</t>
        </is>
      </c>
      <c r="D18" s="15" t="inlineStr">
        <is>
          <t>PASS</t>
        </is>
      </c>
      <c r="E18" s="18" t="inlineStr">
        <is>
          <t>Verified successfully as expected.</t>
        </is>
      </c>
    </row>
    <row r="19">
      <c r="A19" s="12" t="inlineStr">
        <is>
          <t>EXEC_016</t>
        </is>
      </c>
      <c r="B19" s="12" t="inlineStr">
        <is>
          <t>TC_CAT_001</t>
        </is>
      </c>
      <c r="C19" s="12" t="inlineStr">
        <is>
          <t>Shravani Salunkhe</t>
        </is>
      </c>
      <c r="D19" s="15" t="inlineStr">
        <is>
          <t>PASS</t>
        </is>
      </c>
      <c r="E19" s="18" t="inlineStr">
        <is>
          <t>Verified successfully as expected.</t>
        </is>
      </c>
    </row>
    <row r="20">
      <c r="A20" s="12" t="inlineStr">
        <is>
          <t>EXEC_017</t>
        </is>
      </c>
      <c r="B20" s="12" t="inlineStr">
        <is>
          <t>TC_CAT_002</t>
        </is>
      </c>
      <c r="C20" s="12" t="inlineStr">
        <is>
          <t>Shravani Salunkhe</t>
        </is>
      </c>
      <c r="D20" s="15" t="inlineStr">
        <is>
          <t>PASS</t>
        </is>
      </c>
      <c r="E20" s="18" t="inlineStr">
        <is>
          <t>Verified successfully as expected.</t>
        </is>
      </c>
    </row>
    <row r="21">
      <c r="A21" s="12" t="inlineStr">
        <is>
          <t>EXEC_018</t>
        </is>
      </c>
      <c r="B21" s="12" t="inlineStr">
        <is>
          <t>TC_CAT_003</t>
        </is>
      </c>
      <c r="C21" s="12" t="inlineStr">
        <is>
          <t>Shravani Salunkhe</t>
        </is>
      </c>
      <c r="D21" s="15" t="inlineStr">
        <is>
          <t>PASS</t>
        </is>
      </c>
      <c r="E21" s="18" t="inlineStr">
        <is>
          <t>Verified successfully as expected.</t>
        </is>
      </c>
    </row>
    <row r="22">
      <c r="A22" s="12" t="inlineStr">
        <is>
          <t>EXEC_019</t>
        </is>
      </c>
      <c r="B22" s="12" t="inlineStr">
        <is>
          <t>TC_CAT_004</t>
        </is>
      </c>
      <c r="C22" s="12" t="inlineStr">
        <is>
          <t>Shravani Salunkhe</t>
        </is>
      </c>
      <c r="D22" s="15" t="inlineStr">
        <is>
          <t>PASS</t>
        </is>
      </c>
      <c r="E22" s="18" t="inlineStr">
        <is>
          <t>Verified successfully as expected.</t>
        </is>
      </c>
    </row>
    <row r="23">
      <c r="A23" s="12" t="inlineStr">
        <is>
          <t>EXEC_020</t>
        </is>
      </c>
      <c r="B23" s="12" t="inlineStr">
        <is>
          <t>TC_CAT_005</t>
        </is>
      </c>
      <c r="C23" s="12" t="inlineStr">
        <is>
          <t>Shravani Salunkhe</t>
        </is>
      </c>
      <c r="D23" s="15" t="inlineStr">
        <is>
          <t>PASS</t>
        </is>
      </c>
      <c r="E23" s="18" t="inlineStr">
        <is>
          <t>Verified successfully as expected.</t>
        </is>
      </c>
    </row>
    <row r="24">
      <c r="A24" s="12" t="inlineStr">
        <is>
          <t>EXEC_021</t>
        </is>
      </c>
      <c r="B24" s="12" t="inlineStr">
        <is>
          <t>TC_CART_001</t>
        </is>
      </c>
      <c r="C24" s="12" t="inlineStr">
        <is>
          <t>Shravani Salunkhe</t>
        </is>
      </c>
      <c r="D24" s="15" t="inlineStr">
        <is>
          <t>PASS</t>
        </is>
      </c>
      <c r="E24" s="18" t="inlineStr">
        <is>
          <t>Verified successfully as expected.</t>
        </is>
      </c>
    </row>
    <row r="25">
      <c r="A25" s="12" t="inlineStr">
        <is>
          <t>EXEC_022</t>
        </is>
      </c>
      <c r="B25" s="12" t="inlineStr">
        <is>
          <t>TC_CART_002</t>
        </is>
      </c>
      <c r="C25" s="12" t="inlineStr">
        <is>
          <t>Shravani Salunkhe</t>
        </is>
      </c>
      <c r="D25" s="15" t="inlineStr">
        <is>
          <t>PASS</t>
        </is>
      </c>
      <c r="E25" s="18" t="inlineStr">
        <is>
          <t>Verified successfully as expected.</t>
        </is>
      </c>
    </row>
    <row r="26">
      <c r="A26" s="12" t="inlineStr">
        <is>
          <t>EXEC_023</t>
        </is>
      </c>
      <c r="B26" s="12" t="inlineStr">
        <is>
          <t>TC_CART_003</t>
        </is>
      </c>
      <c r="C26" s="12" t="inlineStr">
        <is>
          <t>Shravani Salunkhe</t>
        </is>
      </c>
      <c r="D26" s="15" t="inlineStr">
        <is>
          <t>PASS</t>
        </is>
      </c>
      <c r="E26" s="18" t="inlineStr">
        <is>
          <t>Verified successfully as expected.</t>
        </is>
      </c>
    </row>
    <row r="27">
      <c r="A27" s="12" t="inlineStr">
        <is>
          <t>EXEC_024</t>
        </is>
      </c>
      <c r="B27" s="12" t="inlineStr">
        <is>
          <t>TC_CART_004</t>
        </is>
      </c>
      <c r="C27" s="12" t="inlineStr">
        <is>
          <t>Shravani Salunkhe</t>
        </is>
      </c>
      <c r="D27" s="15" t="inlineStr">
        <is>
          <t>PASS</t>
        </is>
      </c>
      <c r="E27" s="18" t="inlineStr">
        <is>
          <t>Verified successfully as expected.</t>
        </is>
      </c>
    </row>
    <row r="28">
      <c r="A28" s="12" t="inlineStr">
        <is>
          <t>EXEC_025</t>
        </is>
      </c>
      <c r="B28" s="12" t="inlineStr">
        <is>
          <t>TC_CHK_001</t>
        </is>
      </c>
      <c r="C28" s="12" t="inlineStr">
        <is>
          <t>Shravani Salunkhe</t>
        </is>
      </c>
      <c r="D28" s="15" t="inlineStr">
        <is>
          <t>PASS</t>
        </is>
      </c>
      <c r="E28" s="18" t="inlineStr">
        <is>
          <t>Verified successfully as expected.</t>
        </is>
      </c>
    </row>
    <row r="29" ht="27.6" customHeight="1" s="17">
      <c r="A29" s="12" t="inlineStr">
        <is>
          <t>EXEC_026</t>
        </is>
      </c>
      <c r="B29" s="12" t="inlineStr">
        <is>
          <t>TC_CHK_002</t>
        </is>
      </c>
      <c r="C29" s="12" t="inlineStr">
        <is>
          <t>Shravani Salunkhe</t>
        </is>
      </c>
      <c r="D29" s="14" t="inlineStr">
        <is>
          <t>FAIL</t>
        </is>
      </c>
      <c r="E29" s="18" t="inlineStr">
        <is>
          <t>FAIL - Defect BUG_003: Purchase form accepts non-numeric input in card &amp; date fields.</t>
        </is>
      </c>
    </row>
    <row r="30">
      <c r="A30" s="12" t="inlineStr">
        <is>
          <t>EXEC_027</t>
        </is>
      </c>
      <c r="B30" s="12" t="inlineStr">
        <is>
          <t>TC_CHK_003</t>
        </is>
      </c>
      <c r="C30" s="12" t="inlineStr">
        <is>
          <t>Shravani Salunkhe</t>
        </is>
      </c>
      <c r="D30" s="15" t="inlineStr">
        <is>
          <t>PASS</t>
        </is>
      </c>
      <c r="E30" s="18" t="inlineStr">
        <is>
          <t>Verified successfully as expected.</t>
        </is>
      </c>
    </row>
    <row r="31" ht="27.6" customHeight="1" s="17">
      <c r="A31" s="12" t="inlineStr">
        <is>
          <t>EXEC_028</t>
        </is>
      </c>
      <c r="B31" s="12" t="inlineStr">
        <is>
          <t>TC_CHK_004</t>
        </is>
      </c>
      <c r="C31" s="12" t="inlineStr">
        <is>
          <t>Shravani Salunkhe</t>
        </is>
      </c>
      <c r="D31" s="14" t="inlineStr">
        <is>
          <t>FAIL</t>
        </is>
      </c>
      <c r="E31" s="18" t="inlineStr">
        <is>
          <t>FAIL - Defect BUG_002: Empty cart allows Place Order and completes purchase.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tabSelected="1" workbookViewId="0">
      <selection activeCell="A6" sqref="A6"/>
    </sheetView>
  </sheetViews>
  <sheetFormatPr baseColWidth="8" defaultRowHeight="14.4"/>
  <cols>
    <col width="20" customWidth="1" style="17" min="1" max="1"/>
    <col width="48" customWidth="1" style="17" min="2" max="2"/>
    <col width="16" customWidth="1" style="17" min="3" max="3"/>
    <col width="12" customWidth="1" style="17" min="4" max="6"/>
    <col width="12" customWidth="1" style="17" min="5" max="5"/>
    <col width="12" customWidth="1" style="17" min="6" max="6"/>
    <col width="48" customWidth="1" style="17" min="7" max="8"/>
    <col width="48" customWidth="1" style="17" min="8" max="8"/>
  </cols>
  <sheetData>
    <row r="1" ht="21" customHeight="1" s="17">
      <c r="A1" s="1" t="inlineStr">
        <is>
          <t>DEFECT / BUG LOG</t>
        </is>
      </c>
    </row>
    <row r="2"/>
    <row r="3">
      <c r="A3" s="16" t="inlineStr">
        <is>
          <t>Defect ID</t>
        </is>
      </c>
      <c r="B3" s="16" t="inlineStr">
        <is>
          <t>Defect Title</t>
        </is>
      </c>
      <c r="C3" s="16" t="inlineStr">
        <is>
          <t>Mapped TC ID</t>
        </is>
      </c>
      <c r="D3" s="16" t="inlineStr">
        <is>
          <t>Severity</t>
        </is>
      </c>
      <c r="E3" s="16" t="inlineStr">
        <is>
          <t>Priority</t>
        </is>
      </c>
      <c r="F3" s="16" t="inlineStr">
        <is>
          <t>Status</t>
        </is>
      </c>
      <c r="G3" s="16" t="inlineStr">
        <is>
          <t>Steps to Reproduce</t>
        </is>
      </c>
      <c r="H3" s="16" t="inlineStr">
        <is>
          <t>Expected vs Actual Result</t>
        </is>
      </c>
    </row>
    <row r="4" ht="69" customHeight="1" s="17">
      <c r="A4" s="12" t="inlineStr">
        <is>
          <t>BUG_001</t>
        </is>
      </c>
      <c r="B4" s="18" t="inlineStr">
        <is>
          <t>Contact message form submits successfully without requiring a valid email address</t>
        </is>
      </c>
      <c r="C4" s="12" t="inlineStr">
        <is>
          <t>TC_NAV_004</t>
        </is>
      </c>
      <c r="D4" s="12" t="inlineStr">
        <is>
          <t>Medium</t>
        </is>
      </c>
      <c r="E4" s="12" t="inlineStr">
        <is>
          <t>Medium</t>
        </is>
      </c>
      <c r="F4" s="14" t="inlineStr">
        <is>
          <t>Open</t>
        </is>
      </c>
      <c r="G4" s="18" t="inlineStr">
        <is>
          <t>1. Open Demoblaze home page.
2. Click 'Contact' in navigation header.
3. Leave 'Contact Email' field completely blank.
4. Type a message in 'Message' text area.
5. Click 'Send message' button.</t>
        </is>
      </c>
      <c r="H4" s="18" t="inlineStr">
        <is>
          <t>Expected: Validation alert requiring a valid contact email address before submission.
Actual: Application displays 'Thanks for the message!!' alert and submits form without an email.</t>
        </is>
      </c>
    </row>
    <row r="5" ht="82.8" customHeight="1" s="17">
      <c r="A5" s="12" t="inlineStr">
        <is>
          <t>BUG_002</t>
        </is>
      </c>
      <c r="B5" s="18" t="inlineStr">
        <is>
          <t>Empty shopping cart allows clicking 'Place Order' and completes purchase with success modal</t>
        </is>
      </c>
      <c r="C5" s="12" t="inlineStr">
        <is>
          <t>TC_CHK_004</t>
        </is>
      </c>
      <c r="D5" s="13" t="inlineStr">
        <is>
          <t>Critical</t>
        </is>
      </c>
      <c r="E5" s="13" t="inlineStr">
        <is>
          <t>High</t>
        </is>
      </c>
      <c r="F5" s="14" t="inlineStr">
        <is>
          <t>Open</t>
        </is>
      </c>
      <c r="G5" s="18" t="inlineStr">
        <is>
          <t>1. Open Demoblaze in a fresh browser session with an empty cart ($0 total).
2. Navigate to 'Cart' page.
3. Click 'Place Order' button.
4. Enter Name and Credit Card in modal.
5. Click 'Purchase'.</t>
        </is>
      </c>
      <c r="H5" s="18" t="inlineStr">
        <is>
          <t>Expected: 'Place Order' button should be disabled, or alert 'Cart is empty' should prevent order submission.
Actual: System opens purchase modal with Total: 0 and generates 'Thank you for your purchase!' modal for $0.</t>
        </is>
      </c>
    </row>
    <row r="6" ht="82.8" customHeight="1" s="17">
      <c r="A6" s="12" t="inlineStr">
        <is>
          <t>BUG_003</t>
        </is>
      </c>
      <c r="B6" s="18" t="inlineStr">
        <is>
          <t>Purchase order form accepts non-numeric text input in Credit Card, Month, and Year fields</t>
        </is>
      </c>
      <c r="C6" s="12" t="inlineStr">
        <is>
          <t>TC_CHK_002</t>
        </is>
      </c>
      <c r="D6" s="13" t="inlineStr">
        <is>
          <t>High</t>
        </is>
      </c>
      <c r="E6" s="12" t="inlineStr">
        <is>
          <t>Medium</t>
        </is>
      </c>
      <c r="F6" s="14" t="inlineStr">
        <is>
          <t>Open</t>
        </is>
      </c>
      <c r="G6" s="18" t="inlineStr">
        <is>
          <t>1. Add any product to cart and open Cart page.
2. Click 'Place Order' button.
3. Enter Name 'Shravani'.
4. Enter alphabetic text 'abcd' into Credit Card field and 'xyz' into Month/Year fields.
5. Click 'Purchase'.</t>
        </is>
      </c>
      <c r="H6" s="18" t="inlineStr">
        <is>
          <t>Expected: Form validation requiring numeric card digits and valid date format.
Actual: Order completes successfully and displays confirmation modal containing invalid text strings.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2026-10-06T18:11:41Z</dcterms:created>
  <dcterms:modified xmlns:dcterms="http://purl.org/dc/terms/" xmlns:xsi="http://www.w3.org/2001/XMLSchema-instance" xsi:type="dcterms:W3CDTF">2026-10-06T18:29:34Z</dcterms:modified>
  <cp:lastModifiedBy>dhruva gohil</cp:lastModifiedBy>
</cp:coreProperties>
</file>